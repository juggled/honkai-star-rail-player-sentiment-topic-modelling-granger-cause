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ode\HSR\"/>
    </mc:Choice>
  </mc:AlternateContent>
  <xr:revisionPtr revIDLastSave="0" documentId="13_ncr:1_{EDFC4F4A-CC7F-4369-9495-989CBF91A493}" xr6:coauthVersionLast="47" xr6:coauthVersionMax="47" xr10:uidLastSave="{00000000-0000-0000-0000-000000000000}"/>
  <bookViews>
    <workbookView xWindow="-120" yWindow="-120" windowWidth="29040" windowHeight="15720" xr2:uid="{4E725C9C-0E57-4187-9914-33E29A55A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B29" i="1"/>
  <c r="B30" i="1"/>
  <c r="B31" i="1"/>
  <c r="B32" i="1"/>
  <c r="B33" i="1"/>
  <c r="B28" i="1"/>
  <c r="C33" i="1"/>
  <c r="C32" i="1"/>
  <c r="C31" i="1"/>
  <c r="C30" i="1"/>
  <c r="C29" i="1"/>
  <c r="C2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</calcChain>
</file>

<file path=xl/sharedStrings.xml><?xml version="1.0" encoding="utf-8"?>
<sst xmlns="http://schemas.openxmlformats.org/spreadsheetml/2006/main" count="4" uniqueCount="4">
  <si>
    <t>Date</t>
  </si>
  <si>
    <t>Revenue (Million USD)</t>
  </si>
  <si>
    <t>Expanded</t>
  </si>
  <si>
    <t>Percentage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</si>
</sst>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9" fontId="0" fillId="0" borderId="0" xfId="0" applyNumberFormat="1"/>
    <xf numFmtId="9" fontId="2" fillId="2" borderId="0" xfId="1" applyNumberFormat="1"/>
  </cellXfs>
  <cellStyles count="2">
    <cellStyle name="Bad" xfId="1" builtinId="2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95E4-91B7-4243-BCCC-87749B2EA69C}">
  <dimension ref="A1:D33"/>
  <sheetViews>
    <sheetView tabSelected="1" workbookViewId="0">
      <selection activeCell="C29" sqref="C29"/>
    </sheetView>
  </sheetViews>
  <sheetFormatPr defaultRowHeight="15" x14ac:dyDescent="0.25"/>
  <cols>
    <col min="1" max="1" width="28.140625" bestFit="1" customWidth="1"/>
    <col min="2" max="2" width="20.5703125" bestFit="1" customWidth="1"/>
    <col min="3" max="3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45017</v>
      </c>
      <c r="B2">
        <v>40.47</v>
      </c>
      <c r="C2">
        <f>B2*10^6</f>
        <v>40470000</v>
      </c>
    </row>
    <row r="3" spans="1:4" x14ac:dyDescent="0.25">
      <c r="A3" s="1">
        <v>45047</v>
      </c>
      <c r="B3">
        <v>146.05000000000001</v>
      </c>
      <c r="C3">
        <f t="shared" ref="C3:C27" si="0">B3*10^6</f>
        <v>146050000</v>
      </c>
      <c r="D3" s="2">
        <f>(C3-C2)/C2</f>
        <v>2.6088460588089943</v>
      </c>
    </row>
    <row r="4" spans="1:4" x14ac:dyDescent="0.25">
      <c r="A4" s="1">
        <v>45078</v>
      </c>
      <c r="B4">
        <v>98.52</v>
      </c>
      <c r="C4">
        <f t="shared" si="0"/>
        <v>98520000</v>
      </c>
      <c r="D4" s="2">
        <f t="shared" ref="D4:D33" si="1">(C4-C3)/C3</f>
        <v>-0.32543649435124955</v>
      </c>
    </row>
    <row r="5" spans="1:4" x14ac:dyDescent="0.25">
      <c r="A5" s="1">
        <v>45108</v>
      </c>
      <c r="B5">
        <v>70.5</v>
      </c>
      <c r="C5">
        <f t="shared" si="0"/>
        <v>70500000</v>
      </c>
      <c r="D5" s="2">
        <f t="shared" si="1"/>
        <v>-0.2844092570036541</v>
      </c>
    </row>
    <row r="6" spans="1:4" x14ac:dyDescent="0.25">
      <c r="A6" s="1">
        <v>45139</v>
      </c>
      <c r="B6">
        <v>86.95</v>
      </c>
      <c r="C6">
        <f t="shared" si="0"/>
        <v>86950000</v>
      </c>
      <c r="D6" s="2">
        <f t="shared" si="1"/>
        <v>0.23333333333333334</v>
      </c>
    </row>
    <row r="7" spans="1:4" x14ac:dyDescent="0.25">
      <c r="A7" s="1">
        <v>45170</v>
      </c>
      <c r="B7">
        <v>73.95</v>
      </c>
      <c r="C7">
        <f t="shared" si="0"/>
        <v>73950000</v>
      </c>
      <c r="D7" s="2">
        <f t="shared" si="1"/>
        <v>-0.14951121334100057</v>
      </c>
    </row>
    <row r="8" spans="1:4" x14ac:dyDescent="0.25">
      <c r="A8" s="1">
        <v>45200</v>
      </c>
      <c r="B8">
        <v>83.63</v>
      </c>
      <c r="C8">
        <f t="shared" si="0"/>
        <v>83630000</v>
      </c>
      <c r="D8" s="2">
        <f t="shared" si="1"/>
        <v>0.13089925625422583</v>
      </c>
    </row>
    <row r="9" spans="1:4" x14ac:dyDescent="0.25">
      <c r="A9" s="1">
        <v>45231</v>
      </c>
      <c r="B9">
        <v>32.94</v>
      </c>
      <c r="C9">
        <f t="shared" si="0"/>
        <v>32939999.999999996</v>
      </c>
      <c r="D9" s="2">
        <f t="shared" si="1"/>
        <v>-0.60612220495037661</v>
      </c>
    </row>
    <row r="10" spans="1:4" x14ac:dyDescent="0.25">
      <c r="A10" s="1">
        <v>45261</v>
      </c>
      <c r="B10">
        <v>53.71</v>
      </c>
      <c r="C10">
        <f t="shared" si="0"/>
        <v>53710000</v>
      </c>
      <c r="D10" s="2">
        <f t="shared" si="1"/>
        <v>0.63054037644201599</v>
      </c>
    </row>
    <row r="11" spans="1:4" x14ac:dyDescent="0.25">
      <c r="A11" s="1">
        <v>45292</v>
      </c>
      <c r="B11">
        <v>34.46</v>
      </c>
      <c r="C11">
        <f t="shared" si="0"/>
        <v>34460000</v>
      </c>
      <c r="D11" s="2">
        <f t="shared" si="1"/>
        <v>-0.35840625581828339</v>
      </c>
    </row>
    <row r="12" spans="1:4" x14ac:dyDescent="0.25">
      <c r="A12" s="1">
        <v>45323</v>
      </c>
      <c r="B12">
        <v>56.04</v>
      </c>
      <c r="C12">
        <f t="shared" si="0"/>
        <v>56040000</v>
      </c>
      <c r="D12" s="2">
        <f t="shared" si="1"/>
        <v>0.62623331398723159</v>
      </c>
    </row>
    <row r="13" spans="1:4" x14ac:dyDescent="0.25">
      <c r="A13" s="1">
        <v>45352</v>
      </c>
      <c r="B13">
        <v>92.47</v>
      </c>
      <c r="C13">
        <f t="shared" si="0"/>
        <v>92470000</v>
      </c>
      <c r="D13" s="2">
        <f t="shared" si="1"/>
        <v>0.65007137758743749</v>
      </c>
    </row>
    <row r="14" spans="1:4" x14ac:dyDescent="0.25">
      <c r="A14" s="1">
        <v>45383</v>
      </c>
      <c r="B14">
        <v>76.069999999999993</v>
      </c>
      <c r="C14">
        <f t="shared" si="0"/>
        <v>76070000</v>
      </c>
      <c r="D14" s="2">
        <f t="shared" si="1"/>
        <v>-0.17735481777873904</v>
      </c>
    </row>
    <row r="15" spans="1:4" x14ac:dyDescent="0.25">
      <c r="A15" s="1">
        <v>45413</v>
      </c>
      <c r="B15">
        <v>61.14</v>
      </c>
      <c r="C15">
        <f t="shared" si="0"/>
        <v>61140000</v>
      </c>
      <c r="D15" s="2">
        <f t="shared" si="1"/>
        <v>-0.19626659655580386</v>
      </c>
    </row>
    <row r="16" spans="1:4" x14ac:dyDescent="0.25">
      <c r="A16" s="1">
        <v>45444</v>
      </c>
      <c r="B16">
        <v>62.67</v>
      </c>
      <c r="C16">
        <f t="shared" si="0"/>
        <v>62670000</v>
      </c>
      <c r="D16" s="2">
        <f t="shared" si="1"/>
        <v>2.5024533856722278E-2</v>
      </c>
    </row>
    <row r="17" spans="1:4" x14ac:dyDescent="0.25">
      <c r="A17" s="1">
        <v>45474</v>
      </c>
      <c r="B17">
        <v>36.28</v>
      </c>
      <c r="C17">
        <f t="shared" si="0"/>
        <v>36280000</v>
      </c>
      <c r="D17" s="2">
        <f t="shared" si="1"/>
        <v>-0.42109462262645603</v>
      </c>
    </row>
    <row r="18" spans="1:4" x14ac:dyDescent="0.25">
      <c r="A18" s="1">
        <v>45505</v>
      </c>
      <c r="B18">
        <v>32.78</v>
      </c>
      <c r="C18">
        <f t="shared" si="0"/>
        <v>32780000</v>
      </c>
      <c r="D18" s="2">
        <f t="shared" si="1"/>
        <v>-9.6471885336273433E-2</v>
      </c>
    </row>
    <row r="19" spans="1:4" x14ac:dyDescent="0.25">
      <c r="A19" s="1">
        <v>45536</v>
      </c>
      <c r="B19">
        <v>54.69</v>
      </c>
      <c r="C19">
        <f t="shared" si="0"/>
        <v>54690000</v>
      </c>
      <c r="D19" s="2">
        <f t="shared" si="1"/>
        <v>0.66839536302623548</v>
      </c>
    </row>
    <row r="20" spans="1:4" x14ac:dyDescent="0.25">
      <c r="A20" s="1">
        <v>45566</v>
      </c>
      <c r="B20">
        <v>36.590000000000003</v>
      </c>
      <c r="C20">
        <f t="shared" si="0"/>
        <v>36590000</v>
      </c>
      <c r="D20" s="2">
        <f t="shared" si="1"/>
        <v>-0.3309562991406107</v>
      </c>
    </row>
    <row r="21" spans="1:4" x14ac:dyDescent="0.25">
      <c r="A21" s="1">
        <v>45597</v>
      </c>
      <c r="B21">
        <v>21.08</v>
      </c>
      <c r="C21">
        <f t="shared" si="0"/>
        <v>21080000</v>
      </c>
      <c r="D21" s="2">
        <f t="shared" si="1"/>
        <v>-0.42388630773435365</v>
      </c>
    </row>
    <row r="22" spans="1:4" x14ac:dyDescent="0.25">
      <c r="A22" s="1">
        <v>45627</v>
      </c>
      <c r="B22">
        <v>45.46</v>
      </c>
      <c r="C22">
        <f t="shared" si="0"/>
        <v>45460000</v>
      </c>
      <c r="D22" s="2">
        <f t="shared" si="1"/>
        <v>1.1565464895635673</v>
      </c>
    </row>
    <row r="23" spans="1:4" x14ac:dyDescent="0.25">
      <c r="A23" s="1">
        <v>45658</v>
      </c>
      <c r="B23">
        <v>45.46</v>
      </c>
      <c r="C23">
        <f t="shared" si="0"/>
        <v>45460000</v>
      </c>
      <c r="D23" s="3">
        <f t="shared" si="1"/>
        <v>0</v>
      </c>
    </row>
    <row r="24" spans="1:4" x14ac:dyDescent="0.25">
      <c r="A24" s="1">
        <v>45689</v>
      </c>
      <c r="B24">
        <v>36.83</v>
      </c>
      <c r="C24">
        <f t="shared" si="0"/>
        <v>36830000</v>
      </c>
      <c r="D24" s="2">
        <f t="shared" si="1"/>
        <v>-0.18983721953365595</v>
      </c>
    </row>
    <row r="25" spans="1:4" x14ac:dyDescent="0.25">
      <c r="A25" s="1">
        <v>45717</v>
      </c>
      <c r="B25">
        <v>27.29</v>
      </c>
      <c r="C25">
        <f t="shared" si="0"/>
        <v>27290000</v>
      </c>
      <c r="D25" s="2">
        <f t="shared" si="1"/>
        <v>-0.25902796633179476</v>
      </c>
    </row>
    <row r="26" spans="1:4" x14ac:dyDescent="0.25">
      <c r="A26" s="1">
        <v>45748</v>
      </c>
      <c r="B26">
        <v>71.13</v>
      </c>
      <c r="C26">
        <f t="shared" si="0"/>
        <v>71130000</v>
      </c>
      <c r="D26" s="2">
        <f t="shared" si="1"/>
        <v>1.6064492488090876</v>
      </c>
    </row>
    <row r="27" spans="1:4" x14ac:dyDescent="0.25">
      <c r="A27" s="1">
        <v>45778</v>
      </c>
      <c r="B27">
        <v>38.57</v>
      </c>
      <c r="C27">
        <f t="shared" si="0"/>
        <v>38570000</v>
      </c>
      <c r="D27" s="2">
        <f t="shared" si="1"/>
        <v>-0.45775340925066776</v>
      </c>
    </row>
    <row r="28" spans="1:4" x14ac:dyDescent="0.25">
      <c r="A28" s="1">
        <v>45809</v>
      </c>
      <c r="B28">
        <f>C28/10^6</f>
        <v>16.493200000000002</v>
      </c>
      <c r="C28">
        <f>3423200+13070000</f>
        <v>16493200</v>
      </c>
      <c r="D28" s="2">
        <f t="shared" si="1"/>
        <v>-0.57238268084003108</v>
      </c>
    </row>
    <row r="29" spans="1:4" x14ac:dyDescent="0.25">
      <c r="A29" s="1">
        <v>45839</v>
      </c>
      <c r="B29">
        <f t="shared" ref="B29:B33" si="2">C29/10^6</f>
        <v>74.540000000000006</v>
      </c>
      <c r="C29">
        <f>23340000+51200000</f>
        <v>74540000</v>
      </c>
      <c r="D29" s="2">
        <f t="shared" si="1"/>
        <v>3.5194383139718188</v>
      </c>
    </row>
    <row r="30" spans="1:4" x14ac:dyDescent="0.25">
      <c r="A30" s="1">
        <v>45870</v>
      </c>
      <c r="B30">
        <f t="shared" si="2"/>
        <v>24.790800000000001</v>
      </c>
      <c r="C30">
        <f>6690800+18100000</f>
        <v>24790800</v>
      </c>
      <c r="D30" s="2">
        <f t="shared" si="1"/>
        <v>-0.66741615240139518</v>
      </c>
    </row>
    <row r="31" spans="1:4" x14ac:dyDescent="0.25">
      <c r="A31" s="1">
        <v>45901</v>
      </c>
      <c r="B31">
        <f t="shared" si="2"/>
        <v>31.5352</v>
      </c>
      <c r="C31">
        <f>10425200+21110000</f>
        <v>31535200</v>
      </c>
      <c r="D31" s="2">
        <f t="shared" si="1"/>
        <v>0.27205253561805187</v>
      </c>
    </row>
    <row r="32" spans="1:4" x14ac:dyDescent="0.25">
      <c r="A32" s="1">
        <v>45931</v>
      </c>
      <c r="B32">
        <f t="shared" si="2"/>
        <v>19.3904</v>
      </c>
      <c r="C32">
        <f>5290400+14100000</f>
        <v>19390400</v>
      </c>
      <c r="D32" s="2">
        <f t="shared" si="1"/>
        <v>-0.38511885131535556</v>
      </c>
    </row>
    <row r="33" spans="1:4" x14ac:dyDescent="0.25">
      <c r="A33" s="1">
        <v>45962</v>
      </c>
      <c r="B33">
        <f t="shared" si="2"/>
        <v>58.694000000000003</v>
      </c>
      <c r="C33">
        <f>29564000+29130000</f>
        <v>58694000</v>
      </c>
      <c r="D33" s="2">
        <f t="shared" si="1"/>
        <v>2.0269617955276837</v>
      </c>
    </row>
  </sheetData>
  <phoneticPr fontId="1" type="noConversion"/>
  <conditionalFormatting sqref="D3:D33">
    <cfRule type="cellIs" dxfId="1" priority="2" operator="greaterThan">
      <formula>0</formula>
    </cfRule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 L</dc:creator>
  <cp:lastModifiedBy>Heal L</cp:lastModifiedBy>
  <dcterms:created xsi:type="dcterms:W3CDTF">2025-12-12T08:28:07Z</dcterms:created>
  <dcterms:modified xsi:type="dcterms:W3CDTF">2025-12-12T14:18:24Z</dcterms:modified>
</cp:coreProperties>
</file>